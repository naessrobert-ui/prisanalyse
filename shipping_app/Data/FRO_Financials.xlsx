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OneDrive\Dokumenter\UIB\Semester 8\ITOK381-Eksperter-i-Team\ITOK381-Eksperter-i-Team\Data\"/>
    </mc:Choice>
  </mc:AlternateContent>
  <xr:revisionPtr revIDLastSave="0" documentId="13_ncr:1_{36B080F6-C047-4B0D-965D-72EFB83304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C10" i="1"/>
  <c r="B10" i="1"/>
  <c r="C9" i="1"/>
  <c r="B9" i="1"/>
  <c r="C16" i="1" l="1"/>
  <c r="C17" i="1" s="1"/>
  <c r="B16" i="1"/>
  <c r="B17" i="1" s="1"/>
</calcChain>
</file>

<file path=xl/sharedStrings.xml><?xml version="1.0" encoding="utf-8"?>
<sst xmlns="http://schemas.openxmlformats.org/spreadsheetml/2006/main" count="64" uniqueCount="64">
  <si>
    <t>Q4-2014</t>
  </si>
  <si>
    <t>Q1-2015</t>
  </si>
  <si>
    <t>Q2-2015</t>
  </si>
  <si>
    <t>Q3-2015</t>
  </si>
  <si>
    <t>Q4-2015</t>
  </si>
  <si>
    <t>Q1-2016</t>
  </si>
  <si>
    <t>Q2-2016</t>
  </si>
  <si>
    <t>Q3-2016</t>
  </si>
  <si>
    <t>Q4-2016</t>
  </si>
  <si>
    <t>Q1-2017</t>
  </si>
  <si>
    <t>Q2-2017</t>
  </si>
  <si>
    <t>Q3-2017</t>
  </si>
  <si>
    <t>Q4-2017</t>
  </si>
  <si>
    <t>Q1-2018</t>
  </si>
  <si>
    <t>Q2-2018</t>
  </si>
  <si>
    <t>Q3-2018</t>
  </si>
  <si>
    <t>Q4-2018</t>
  </si>
  <si>
    <t>Q1-2019</t>
  </si>
  <si>
    <t>Q2-2019</t>
  </si>
  <si>
    <t>Q3-2019</t>
  </si>
  <si>
    <t>Q4-2019</t>
  </si>
  <si>
    <t>Q1-2020</t>
  </si>
  <si>
    <t>Q2-2020</t>
  </si>
  <si>
    <t>Q3-2020</t>
  </si>
  <si>
    <t>Q4-2020</t>
  </si>
  <si>
    <t>Q1-2021</t>
  </si>
  <si>
    <t>Q2-2021</t>
  </si>
  <si>
    <t>Q3-2021</t>
  </si>
  <si>
    <t>Q4-2021</t>
  </si>
  <si>
    <t>Q1-2022</t>
  </si>
  <si>
    <t>Q2-2022</t>
  </si>
  <si>
    <t>Q3-2022</t>
  </si>
  <si>
    <t>Q4-2022</t>
  </si>
  <si>
    <t>Q1-2023</t>
  </si>
  <si>
    <t>Q2-2023</t>
  </si>
  <si>
    <t>Q3-2023</t>
  </si>
  <si>
    <t>Q4-2023</t>
  </si>
  <si>
    <t>Q1-2024</t>
  </si>
  <si>
    <t>Q2-2024</t>
  </si>
  <si>
    <t>Q3-2024</t>
  </si>
  <si>
    <t>Q4-2024</t>
  </si>
  <si>
    <t>Q1-2025</t>
  </si>
  <si>
    <t>Q2-2025</t>
  </si>
  <si>
    <t>Q3-2025</t>
  </si>
  <si>
    <t>Q4-2025</t>
  </si>
  <si>
    <t>Cash</t>
  </si>
  <si>
    <t>Capex</t>
  </si>
  <si>
    <t>G&amp;A</t>
  </si>
  <si>
    <t>Finance Income</t>
  </si>
  <si>
    <t>Finance Expenses</t>
  </si>
  <si>
    <t>ReportmentDate</t>
  </si>
  <si>
    <t>SharesOutstanding</t>
  </si>
  <si>
    <t>AnnualizedFinanceExpenses</t>
  </si>
  <si>
    <t>Net FinanceExpenses</t>
  </si>
  <si>
    <t>Short-termDebt</t>
  </si>
  <si>
    <t>Long-termDebt</t>
  </si>
  <si>
    <t>CurrentPortionCapitalLease</t>
  </si>
  <si>
    <t>Long-termCapitalLease</t>
  </si>
  <si>
    <t>TotalDebt</t>
  </si>
  <si>
    <t>AverageTotal Debt</t>
  </si>
  <si>
    <t>AdjustedCostofDebt</t>
  </si>
  <si>
    <t>ProfitBeforeIncomeTaxes</t>
  </si>
  <si>
    <t>IncomeTax</t>
  </si>
  <si>
    <t>Q2-2014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</si>
</sst>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"/>
    <numFmt numFmtId="170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3" fillId="2" borderId="1">
      <alignment horizontal="right"/>
    </xf>
  </cellStyleXfs>
  <cellXfs count="7">
    <xf numFmtId="0" fontId="0" fillId="0" borderId="0" xfId="0"/>
    <xf numFmtId="0" fontId="2" fillId="0" borderId="0" xfId="0" applyFont="1"/>
    <xf numFmtId="14" fontId="2" fillId="0" borderId="0" xfId="0" applyNumberFormat="1" applyFont="1"/>
    <xf numFmtId="43" fontId="2" fillId="0" borderId="0" xfId="1" applyFont="1"/>
    <xf numFmtId="43" fontId="2" fillId="0" borderId="0" xfId="0" applyNumberFormat="1" applyFont="1"/>
    <xf numFmtId="170" fontId="2" fillId="0" borderId="0" xfId="0" applyNumberFormat="1" applyFont="1"/>
    <xf numFmtId="170" fontId="2" fillId="0" borderId="0" xfId="1" applyNumberFormat="1" applyFont="1"/>
  </cellXfs>
  <cellStyles count="3">
    <cellStyle name="Comma" xfId="1" builtinId="3"/>
    <cellStyle name="fa_data_standard_1_grouped" xfId="2" xr:uid="{D14EAC2D-B951-4B44-B93A-6A1BE93359F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9"/>
  <sheetViews>
    <sheetView tabSelected="1" workbookViewId="0">
      <selection activeCell="G21" sqref="G21"/>
    </sheetView>
  </sheetViews>
  <sheetFormatPr defaultColWidth="8.7109375" defaultRowHeight="14.25" x14ac:dyDescent="0.2"/>
  <cols>
    <col min="1" max="2" width="29.85546875" style="1" customWidth="1"/>
    <col min="3" max="47" width="15.42578125" style="1" bestFit="1" customWidth="1"/>
    <col min="48" max="16384" width="8.7109375" style="1"/>
  </cols>
  <sheetData>
    <row r="1" spans="1:47" x14ac:dyDescent="0.2">
      <c r="B1" s="1" t="s">
        <v>63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</row>
    <row r="2" spans="1:47" x14ac:dyDescent="0.2">
      <c r="A2" s="1" t="s">
        <v>50</v>
      </c>
      <c r="B2" s="2">
        <v>41879</v>
      </c>
      <c r="C2" s="2">
        <v>42061</v>
      </c>
      <c r="D2" s="2">
        <v>42153</v>
      </c>
      <c r="E2" s="2">
        <v>42242</v>
      </c>
      <c r="F2" s="2">
        <v>42332</v>
      </c>
      <c r="G2" s="2">
        <v>42429</v>
      </c>
      <c r="H2" s="2">
        <v>42521</v>
      </c>
      <c r="I2" s="2">
        <v>42613</v>
      </c>
      <c r="J2" s="2">
        <v>42703</v>
      </c>
      <c r="K2" s="2">
        <v>42794</v>
      </c>
      <c r="L2" s="2">
        <v>42885</v>
      </c>
      <c r="M2" s="2">
        <v>42978</v>
      </c>
      <c r="N2" s="2">
        <v>43069</v>
      </c>
      <c r="O2" s="2">
        <v>43159</v>
      </c>
      <c r="P2" s="2">
        <v>43250</v>
      </c>
      <c r="Q2" s="2">
        <v>43343</v>
      </c>
      <c r="R2" s="2">
        <v>43434</v>
      </c>
      <c r="S2" s="2">
        <v>43524</v>
      </c>
      <c r="T2" s="2">
        <v>43615</v>
      </c>
      <c r="U2" s="2">
        <v>43708</v>
      </c>
      <c r="V2" s="2">
        <v>43799</v>
      </c>
      <c r="W2" s="2">
        <v>43889</v>
      </c>
      <c r="X2" s="2">
        <v>43981</v>
      </c>
      <c r="Y2" s="2">
        <v>44074</v>
      </c>
      <c r="Z2" s="2">
        <v>44165</v>
      </c>
      <c r="AA2" s="2">
        <v>44255</v>
      </c>
      <c r="AB2" s="2">
        <v>44346</v>
      </c>
      <c r="AC2" s="2">
        <v>44439</v>
      </c>
      <c r="AD2" s="2">
        <v>44530</v>
      </c>
      <c r="AE2" s="2">
        <v>44620</v>
      </c>
      <c r="AF2" s="2">
        <v>44711</v>
      </c>
      <c r="AG2" s="2">
        <v>44804</v>
      </c>
      <c r="AH2" s="2">
        <v>44895</v>
      </c>
      <c r="AI2" s="2">
        <v>44985</v>
      </c>
      <c r="AJ2" s="2">
        <v>45076</v>
      </c>
      <c r="AK2" s="2">
        <v>45169</v>
      </c>
      <c r="AL2" s="2">
        <v>45260</v>
      </c>
      <c r="AM2" s="2">
        <v>45350</v>
      </c>
      <c r="AN2" s="2">
        <v>45442</v>
      </c>
      <c r="AO2" s="2">
        <v>45535</v>
      </c>
      <c r="AP2" s="2">
        <v>45626</v>
      </c>
      <c r="AQ2" s="2">
        <v>45716</v>
      </c>
      <c r="AR2" s="2">
        <v>45807</v>
      </c>
      <c r="AS2" s="2">
        <v>45900</v>
      </c>
      <c r="AT2" s="2">
        <v>45991</v>
      </c>
      <c r="AU2" s="2">
        <v>46080</v>
      </c>
    </row>
    <row r="3" spans="1:47" x14ac:dyDescent="0.2">
      <c r="A3" s="1" t="s">
        <v>51</v>
      </c>
      <c r="B3" s="5">
        <v>98206.286999999997</v>
      </c>
      <c r="C3" s="6">
        <v>112342.989</v>
      </c>
      <c r="D3" s="6">
        <v>124534.28</v>
      </c>
      <c r="E3" s="6">
        <v>198375.85399999999</v>
      </c>
      <c r="F3" s="6">
        <v>198375.85399999999</v>
      </c>
      <c r="G3" s="6">
        <v>156386.50599999999</v>
      </c>
      <c r="H3" s="6">
        <v>156386.50599999999</v>
      </c>
      <c r="I3" s="6">
        <v>156386.50599999999</v>
      </c>
      <c r="J3" s="6">
        <v>156386.50599999999</v>
      </c>
      <c r="K3" s="6">
        <v>169809.3</v>
      </c>
      <c r="L3" s="6">
        <v>169809.3</v>
      </c>
      <c r="M3" s="6">
        <v>169809.3</v>
      </c>
      <c r="N3" s="6">
        <v>169809.3</v>
      </c>
      <c r="O3" s="6">
        <v>169809.3</v>
      </c>
      <c r="P3" s="6">
        <v>169809.3</v>
      </c>
      <c r="Q3" s="6">
        <v>169809.3</v>
      </c>
      <c r="R3" s="6">
        <v>169809.3</v>
      </c>
      <c r="S3" s="6">
        <v>169821.2</v>
      </c>
      <c r="T3" s="6">
        <v>169821.2</v>
      </c>
      <c r="U3" s="6">
        <v>170069.3</v>
      </c>
      <c r="V3" s="6">
        <v>192616</v>
      </c>
      <c r="W3" s="6">
        <v>196894.3</v>
      </c>
      <c r="X3" s="6">
        <v>197692.3</v>
      </c>
      <c r="Y3" s="6">
        <v>197692.3</v>
      </c>
      <c r="Z3" s="6">
        <v>197692.3</v>
      </c>
      <c r="AA3" s="6">
        <v>197692.3</v>
      </c>
      <c r="AB3" s="6">
        <v>197692.3</v>
      </c>
      <c r="AC3" s="6">
        <v>197692.3</v>
      </c>
      <c r="AD3" s="6">
        <v>198031.3</v>
      </c>
      <c r="AE3" s="6">
        <v>203531</v>
      </c>
      <c r="AF3" s="6">
        <v>203531</v>
      </c>
      <c r="AG3" s="6">
        <v>197692.3</v>
      </c>
      <c r="AH3" s="6">
        <v>222622.9</v>
      </c>
      <c r="AI3" s="6">
        <v>222622.9</v>
      </c>
      <c r="AJ3" s="6">
        <v>222622.9</v>
      </c>
      <c r="AK3" s="6">
        <v>222622.9</v>
      </c>
      <c r="AL3" s="6">
        <v>222622.9</v>
      </c>
      <c r="AM3" s="6">
        <v>222622.9</v>
      </c>
      <c r="AN3" s="6">
        <v>222622.9</v>
      </c>
      <c r="AO3" s="6">
        <v>222622.9</v>
      </c>
      <c r="AP3" s="6">
        <v>222622.9</v>
      </c>
      <c r="AQ3" s="6">
        <v>222622.9</v>
      </c>
      <c r="AR3" s="6">
        <v>222622.9</v>
      </c>
      <c r="AS3" s="6">
        <v>222622.9</v>
      </c>
      <c r="AT3" s="6">
        <v>222622.9</v>
      </c>
      <c r="AU3" s="6">
        <v>222622.889</v>
      </c>
    </row>
    <row r="4" spans="1:47" x14ac:dyDescent="0.2">
      <c r="A4" s="1" t="s">
        <v>45</v>
      </c>
      <c r="B4" s="3">
        <v>62436</v>
      </c>
      <c r="C4" s="3">
        <v>64080</v>
      </c>
      <c r="D4" s="3">
        <v>88161</v>
      </c>
      <c r="E4" s="3">
        <v>78159</v>
      </c>
      <c r="F4" s="3">
        <v>94970</v>
      </c>
      <c r="G4" s="3">
        <v>264524</v>
      </c>
      <c r="H4" s="3">
        <v>271632</v>
      </c>
      <c r="I4" s="3">
        <v>129617</v>
      </c>
      <c r="J4" s="3">
        <v>124149</v>
      </c>
      <c r="K4" s="3">
        <v>202402</v>
      </c>
      <c r="L4" s="3">
        <v>127534</v>
      </c>
      <c r="M4" s="3">
        <v>128411</v>
      </c>
      <c r="N4" s="3">
        <v>119086</v>
      </c>
      <c r="O4" s="3">
        <v>104145</v>
      </c>
      <c r="P4" s="3">
        <v>111769</v>
      </c>
      <c r="Q4" s="3">
        <v>116057</v>
      </c>
      <c r="R4" s="3">
        <v>68642</v>
      </c>
      <c r="S4" s="3">
        <v>66484</v>
      </c>
      <c r="T4" s="3">
        <v>95820</v>
      </c>
      <c r="U4" s="3">
        <v>90793</v>
      </c>
      <c r="V4" s="3">
        <v>103834</v>
      </c>
      <c r="W4" s="3">
        <v>174223</v>
      </c>
      <c r="X4" s="3">
        <v>218541</v>
      </c>
      <c r="Y4" s="3">
        <v>224720</v>
      </c>
      <c r="Z4" s="3">
        <v>194110</v>
      </c>
      <c r="AA4" s="3">
        <v>174721</v>
      </c>
      <c r="AB4" s="3">
        <v>151010</v>
      </c>
      <c r="AC4" s="3">
        <v>140361</v>
      </c>
      <c r="AD4" s="3">
        <v>122055</v>
      </c>
      <c r="AE4" s="3">
        <v>113073</v>
      </c>
      <c r="AF4" s="3">
        <v>111176</v>
      </c>
      <c r="AG4" s="3">
        <v>119811</v>
      </c>
      <c r="AH4" s="3">
        <v>127356</v>
      </c>
      <c r="AI4" s="3">
        <v>254525</v>
      </c>
      <c r="AJ4" s="3">
        <v>225361</v>
      </c>
      <c r="AK4" s="3">
        <v>306823</v>
      </c>
      <c r="AL4" s="3">
        <v>285384</v>
      </c>
      <c r="AM4" s="3">
        <v>308322</v>
      </c>
      <c r="AN4" s="3">
        <v>297351</v>
      </c>
      <c r="AO4" s="3">
        <v>359236</v>
      </c>
      <c r="AP4" s="3">
        <v>320885</v>
      </c>
      <c r="AQ4" s="3">
        <v>413532</v>
      </c>
      <c r="AR4" s="3">
        <v>436538</v>
      </c>
      <c r="AS4" s="3">
        <v>476717</v>
      </c>
      <c r="AT4" s="3">
        <v>189427</v>
      </c>
      <c r="AU4" s="3">
        <v>251347</v>
      </c>
    </row>
    <row r="5" spans="1:47" x14ac:dyDescent="0.2">
      <c r="A5" s="1" t="s">
        <v>46</v>
      </c>
      <c r="B5" s="3">
        <v>42324</v>
      </c>
      <c r="C5" s="3">
        <v>349</v>
      </c>
      <c r="D5" s="3">
        <v>41281</v>
      </c>
      <c r="E5" s="3">
        <v>7</v>
      </c>
      <c r="F5" s="3">
        <v>589</v>
      </c>
      <c r="G5" s="3">
        <v>102927</v>
      </c>
      <c r="H5" s="3">
        <v>161353</v>
      </c>
      <c r="I5" s="3">
        <v>176599</v>
      </c>
      <c r="J5" s="3">
        <v>206566</v>
      </c>
      <c r="K5" s="3">
        <v>77943</v>
      </c>
      <c r="L5" s="3">
        <v>246755</v>
      </c>
      <c r="M5" s="3">
        <v>207276</v>
      </c>
      <c r="N5" s="3">
        <v>253454</v>
      </c>
      <c r="O5" s="3">
        <v>6075</v>
      </c>
      <c r="P5" s="3">
        <v>186171</v>
      </c>
      <c r="Q5" s="3">
        <v>17072</v>
      </c>
      <c r="R5" s="3">
        <v>863</v>
      </c>
      <c r="S5" s="3">
        <v>12204</v>
      </c>
      <c r="T5" s="3">
        <v>59844</v>
      </c>
      <c r="U5" s="3">
        <v>87735</v>
      </c>
      <c r="V5" s="3">
        <v>18637</v>
      </c>
      <c r="W5" s="3">
        <v>29756</v>
      </c>
      <c r="X5" s="3">
        <v>27199</v>
      </c>
      <c r="Y5" s="3">
        <v>125647</v>
      </c>
      <c r="Z5" s="3">
        <v>29044</v>
      </c>
      <c r="AA5" s="3">
        <v>8678</v>
      </c>
      <c r="AB5" s="3">
        <v>44333</v>
      </c>
      <c r="AC5" s="3">
        <v>137647</v>
      </c>
      <c r="AD5" s="3">
        <v>36850</v>
      </c>
      <c r="AE5" s="3">
        <v>225570</v>
      </c>
      <c r="AF5" s="3">
        <v>11186</v>
      </c>
      <c r="AG5" s="3">
        <v>148448</v>
      </c>
      <c r="AH5" s="3">
        <v>79077</v>
      </c>
      <c r="AI5" s="3">
        <v>79254</v>
      </c>
      <c r="AJ5" s="3">
        <v>150714</v>
      </c>
      <c r="AK5" s="3">
        <v>2566</v>
      </c>
      <c r="AL5" s="3">
        <v>236</v>
      </c>
      <c r="AM5" s="3">
        <v>1477907</v>
      </c>
      <c r="AN5" s="3">
        <v>899059</v>
      </c>
      <c r="AO5" s="3">
        <v>9434</v>
      </c>
      <c r="AP5" s="3">
        <v>2434</v>
      </c>
      <c r="AQ5" s="3">
        <v>4321</v>
      </c>
      <c r="AR5" s="3">
        <v>466</v>
      </c>
      <c r="AS5" s="3">
        <v>1936</v>
      </c>
      <c r="AT5" s="3">
        <v>3236</v>
      </c>
      <c r="AU5" s="3">
        <v>6893</v>
      </c>
    </row>
    <row r="6" spans="1:47" x14ac:dyDescent="0.2">
      <c r="A6" s="1" t="s">
        <v>47</v>
      </c>
      <c r="B6" s="3">
        <v>10324</v>
      </c>
      <c r="C6" s="3">
        <v>10962</v>
      </c>
      <c r="D6" s="3">
        <v>9995</v>
      </c>
      <c r="E6" s="3">
        <v>10368</v>
      </c>
      <c r="F6" s="3">
        <v>11931</v>
      </c>
      <c r="G6" s="3">
        <v>5246</v>
      </c>
      <c r="H6" s="3">
        <v>10773</v>
      </c>
      <c r="I6" s="3">
        <v>8114</v>
      </c>
      <c r="J6" s="3">
        <v>9413</v>
      </c>
      <c r="K6" s="3">
        <v>8726</v>
      </c>
      <c r="L6" s="3">
        <v>8568</v>
      </c>
      <c r="M6" s="3">
        <v>10599</v>
      </c>
      <c r="N6" s="3">
        <v>9552</v>
      </c>
      <c r="O6" s="3">
        <v>8884</v>
      </c>
      <c r="P6" s="3">
        <v>9548</v>
      </c>
      <c r="Q6" s="3">
        <v>9221</v>
      </c>
      <c r="R6" s="3">
        <v>9220</v>
      </c>
      <c r="S6" s="3">
        <v>9305</v>
      </c>
      <c r="T6" s="3">
        <v>9892</v>
      </c>
      <c r="U6" s="3">
        <v>10988</v>
      </c>
      <c r="V6" s="3">
        <v>11016</v>
      </c>
      <c r="W6" s="3">
        <v>13123</v>
      </c>
      <c r="X6" s="3">
        <v>11355</v>
      </c>
      <c r="Y6" s="3">
        <v>9249</v>
      </c>
      <c r="Z6" s="3">
        <v>10456</v>
      </c>
      <c r="AA6" s="3">
        <v>13178</v>
      </c>
      <c r="AB6" s="3">
        <v>6384</v>
      </c>
      <c r="AC6" s="3">
        <v>7947</v>
      </c>
      <c r="AD6" s="3">
        <v>6452</v>
      </c>
      <c r="AE6" s="3">
        <v>7107</v>
      </c>
      <c r="AF6" s="3">
        <v>7142</v>
      </c>
      <c r="AG6" s="3">
        <v>9098</v>
      </c>
      <c r="AH6" s="3">
        <v>13667</v>
      </c>
      <c r="AI6" s="3">
        <v>18393</v>
      </c>
      <c r="AJ6" s="3">
        <v>12638</v>
      </c>
      <c r="AK6" s="3">
        <v>11701</v>
      </c>
      <c r="AL6" s="3">
        <v>15298</v>
      </c>
      <c r="AM6" s="3">
        <v>13889</v>
      </c>
      <c r="AN6" s="3">
        <v>14846</v>
      </c>
      <c r="AO6" s="3">
        <v>12566</v>
      </c>
      <c r="AP6" s="3">
        <v>6965</v>
      </c>
      <c r="AQ6" s="3">
        <v>1709</v>
      </c>
      <c r="AR6" s="3">
        <v>13348</v>
      </c>
      <c r="AS6" s="3">
        <v>11517</v>
      </c>
      <c r="AT6" s="3">
        <v>15334</v>
      </c>
      <c r="AU6" s="3">
        <v>11168</v>
      </c>
    </row>
    <row r="7" spans="1:47" x14ac:dyDescent="0.2">
      <c r="A7" s="1" t="s">
        <v>48</v>
      </c>
      <c r="B7" s="1">
        <v>11</v>
      </c>
      <c r="C7" s="3">
        <v>15</v>
      </c>
      <c r="D7" s="3">
        <v>11</v>
      </c>
      <c r="E7" s="3">
        <v>14</v>
      </c>
      <c r="F7" s="3">
        <v>31</v>
      </c>
      <c r="G7" s="3">
        <v>34</v>
      </c>
      <c r="H7" s="3">
        <v>87</v>
      </c>
      <c r="I7" s="3">
        <v>96</v>
      </c>
      <c r="J7" s="3">
        <v>76</v>
      </c>
      <c r="K7" s="3">
        <v>108</v>
      </c>
      <c r="L7" s="3">
        <v>126</v>
      </c>
      <c r="M7" s="3">
        <v>142</v>
      </c>
      <c r="N7" s="3">
        <v>70</v>
      </c>
      <c r="O7" s="3">
        <v>250</v>
      </c>
      <c r="P7" s="3">
        <v>140</v>
      </c>
      <c r="Q7" s="3">
        <v>256</v>
      </c>
      <c r="R7" s="3">
        <v>160</v>
      </c>
      <c r="S7" s="3">
        <v>287</v>
      </c>
      <c r="T7" s="3">
        <v>261</v>
      </c>
      <c r="U7" s="3">
        <v>413</v>
      </c>
      <c r="V7" s="3">
        <v>342</v>
      </c>
      <c r="W7" s="3">
        <v>490</v>
      </c>
      <c r="X7" s="3">
        <v>480</v>
      </c>
      <c r="Y7" s="3">
        <v>117</v>
      </c>
      <c r="Z7" s="3">
        <v>58</v>
      </c>
      <c r="AA7" s="3">
        <v>50</v>
      </c>
      <c r="AB7" s="3">
        <v>45</v>
      </c>
      <c r="AC7" s="3">
        <v>38</v>
      </c>
      <c r="AD7" s="3">
        <v>26</v>
      </c>
      <c r="AE7" s="3">
        <v>10</v>
      </c>
      <c r="AF7" s="3">
        <v>47</v>
      </c>
      <c r="AG7" s="3">
        <v>141</v>
      </c>
      <c r="AH7" s="3">
        <v>198</v>
      </c>
      <c r="AI7" s="3">
        <v>1077</v>
      </c>
      <c r="AJ7" s="3">
        <v>2873</v>
      </c>
      <c r="AK7" s="3">
        <v>4855</v>
      </c>
      <c r="AL7" s="3">
        <v>3800</v>
      </c>
      <c r="AM7" s="3">
        <v>6537</v>
      </c>
      <c r="AN7" s="3">
        <v>2227</v>
      </c>
      <c r="AO7" s="3">
        <v>5647</v>
      </c>
      <c r="AP7" s="3">
        <v>5054</v>
      </c>
      <c r="AQ7" s="3">
        <v>4170</v>
      </c>
      <c r="AR7" s="3">
        <v>4484</v>
      </c>
      <c r="AS7" s="3">
        <v>4759</v>
      </c>
      <c r="AT7" s="3">
        <v>4124</v>
      </c>
      <c r="AU7" s="3">
        <v>2469</v>
      </c>
    </row>
    <row r="8" spans="1:47" x14ac:dyDescent="0.2">
      <c r="A8" s="1" t="s">
        <v>49</v>
      </c>
      <c r="B8" s="3">
        <v>22216</v>
      </c>
      <c r="C8" s="3">
        <v>15391</v>
      </c>
      <c r="D8" s="3">
        <v>14683</v>
      </c>
      <c r="E8" s="3">
        <v>12199</v>
      </c>
      <c r="F8" s="3">
        <v>9027</v>
      </c>
      <c r="G8" s="3">
        <v>8307</v>
      </c>
      <c r="H8" s="3">
        <v>13944</v>
      </c>
      <c r="I8" s="3">
        <v>13829</v>
      </c>
      <c r="J8" s="3">
        <v>14717</v>
      </c>
      <c r="K8" s="3">
        <v>14197</v>
      </c>
      <c r="L8" s="3">
        <v>15024</v>
      </c>
      <c r="M8" s="3">
        <v>15976</v>
      </c>
      <c r="N8" s="3">
        <v>18745</v>
      </c>
      <c r="O8" s="3">
        <v>20070</v>
      </c>
      <c r="P8" s="3">
        <v>21602</v>
      </c>
      <c r="Q8" s="3">
        <v>24110</v>
      </c>
      <c r="R8" s="3">
        <v>24602</v>
      </c>
      <c r="S8" s="3">
        <v>22961</v>
      </c>
      <c r="T8" s="3">
        <v>23441</v>
      </c>
      <c r="U8" s="3">
        <v>23244</v>
      </c>
      <c r="V8" s="3">
        <v>23082</v>
      </c>
      <c r="W8" s="3">
        <v>24694</v>
      </c>
      <c r="X8" s="3">
        <v>22634</v>
      </c>
      <c r="Y8" s="3">
        <v>18225</v>
      </c>
      <c r="Z8" s="3">
        <v>16104</v>
      </c>
      <c r="AA8" s="3">
        <v>15197</v>
      </c>
      <c r="AB8" s="3">
        <v>14760</v>
      </c>
      <c r="AC8" s="3">
        <v>14654</v>
      </c>
      <c r="AD8" s="3">
        <v>15222</v>
      </c>
      <c r="AE8" s="3">
        <v>16801</v>
      </c>
      <c r="AF8" s="3">
        <v>16966</v>
      </c>
      <c r="AG8" s="3">
        <v>18928</v>
      </c>
      <c r="AH8" s="3">
        <v>26961</v>
      </c>
      <c r="AI8" s="3">
        <v>35857</v>
      </c>
      <c r="AJ8" s="3">
        <v>45417</v>
      </c>
      <c r="AK8" s="3">
        <v>32390</v>
      </c>
      <c r="AL8" s="3">
        <v>38110</v>
      </c>
      <c r="AM8" s="3">
        <v>55419</v>
      </c>
      <c r="AN8" s="3">
        <v>71376</v>
      </c>
      <c r="AO8" s="3">
        <v>73380</v>
      </c>
      <c r="AP8" s="3">
        <v>82439</v>
      </c>
      <c r="AQ8" s="3">
        <v>67893</v>
      </c>
      <c r="AR8" s="3">
        <v>62799</v>
      </c>
      <c r="AS8" s="3">
        <v>60389</v>
      </c>
      <c r="AT8" s="3">
        <v>59034</v>
      </c>
      <c r="AU8" s="3">
        <v>51012</v>
      </c>
    </row>
    <row r="9" spans="1:47" x14ac:dyDescent="0.2">
      <c r="A9" s="1" t="s">
        <v>52</v>
      </c>
      <c r="B9" s="4">
        <f>B8*4</f>
        <v>88864</v>
      </c>
      <c r="C9" s="3">
        <f>(B8+C8)*2</f>
        <v>75214</v>
      </c>
      <c r="D9" s="3">
        <v>58732</v>
      </c>
      <c r="E9" s="3">
        <v>48796</v>
      </c>
      <c r="F9" s="3">
        <v>36108</v>
      </c>
      <c r="G9" s="3">
        <v>44216</v>
      </c>
      <c r="H9" s="3">
        <v>43477</v>
      </c>
      <c r="I9" s="3">
        <v>45107</v>
      </c>
      <c r="J9" s="3">
        <v>50797</v>
      </c>
      <c r="K9" s="3">
        <v>56687</v>
      </c>
      <c r="L9" s="3">
        <v>57767</v>
      </c>
      <c r="M9" s="3">
        <v>59914</v>
      </c>
      <c r="N9" s="3">
        <v>63942</v>
      </c>
      <c r="O9" s="3">
        <v>69815</v>
      </c>
      <c r="P9" s="3">
        <v>76393</v>
      </c>
      <c r="Q9" s="3">
        <v>84527</v>
      </c>
      <c r="R9" s="3">
        <v>90384</v>
      </c>
      <c r="S9" s="3">
        <v>93275</v>
      </c>
      <c r="T9" s="3">
        <v>95114</v>
      </c>
      <c r="U9" s="3">
        <v>94248</v>
      </c>
      <c r="V9" s="3">
        <v>92728</v>
      </c>
      <c r="W9" s="3">
        <v>94461</v>
      </c>
      <c r="X9" s="3">
        <v>93654</v>
      </c>
      <c r="Y9" s="3">
        <v>88635</v>
      </c>
      <c r="Z9" s="3">
        <v>81657</v>
      </c>
      <c r="AA9" s="3">
        <v>72160</v>
      </c>
      <c r="AB9" s="3">
        <v>64286</v>
      </c>
      <c r="AC9" s="3">
        <v>60715</v>
      </c>
      <c r="AD9" s="3">
        <v>59833</v>
      </c>
      <c r="AE9" s="3">
        <v>61437</v>
      </c>
      <c r="AF9" s="3">
        <v>63643</v>
      </c>
      <c r="AG9" s="3">
        <v>67917</v>
      </c>
      <c r="AH9" s="3">
        <v>79656</v>
      </c>
      <c r="AI9" s="3">
        <v>98712</v>
      </c>
      <c r="AJ9" s="3">
        <v>127163</v>
      </c>
      <c r="AK9" s="3">
        <v>140625</v>
      </c>
      <c r="AL9" s="3">
        <v>151774</v>
      </c>
      <c r="AM9" s="3">
        <v>171336</v>
      </c>
      <c r="AN9" s="3">
        <v>197295</v>
      </c>
      <c r="AO9" s="3">
        <v>238285</v>
      </c>
      <c r="AP9" s="3">
        <v>282614</v>
      </c>
      <c r="AQ9" s="3">
        <v>295088</v>
      </c>
      <c r="AR9" s="3">
        <v>286511</v>
      </c>
      <c r="AS9" s="3">
        <v>273520</v>
      </c>
      <c r="AT9" s="3">
        <v>250115</v>
      </c>
      <c r="AU9" s="3">
        <v>233234</v>
      </c>
    </row>
    <row r="10" spans="1:47" x14ac:dyDescent="0.2">
      <c r="A10" s="1" t="s">
        <v>53</v>
      </c>
      <c r="B10" s="4">
        <f>B8-B7</f>
        <v>22205</v>
      </c>
      <c r="C10" s="3">
        <f>C8-C7</f>
        <v>15376</v>
      </c>
      <c r="D10" s="3">
        <v>14672</v>
      </c>
      <c r="E10" s="3">
        <v>12185</v>
      </c>
      <c r="F10" s="3">
        <v>8996</v>
      </c>
      <c r="G10" s="3">
        <v>8273</v>
      </c>
      <c r="H10" s="3">
        <v>13857</v>
      </c>
      <c r="I10" s="3">
        <v>13733</v>
      </c>
      <c r="J10" s="3">
        <v>14641</v>
      </c>
      <c r="K10" s="3">
        <v>14089</v>
      </c>
      <c r="L10" s="3">
        <v>14898</v>
      </c>
      <c r="M10" s="3">
        <v>15834</v>
      </c>
      <c r="N10" s="3">
        <v>18675</v>
      </c>
      <c r="O10" s="3">
        <v>19820</v>
      </c>
      <c r="P10" s="3">
        <v>21462</v>
      </c>
      <c r="Q10" s="3">
        <v>23854</v>
      </c>
      <c r="R10" s="3">
        <v>24442</v>
      </c>
      <c r="S10" s="3">
        <v>22674</v>
      </c>
      <c r="T10" s="3">
        <v>23180</v>
      </c>
      <c r="U10" s="3">
        <v>22831</v>
      </c>
      <c r="V10" s="3">
        <v>22740</v>
      </c>
      <c r="W10" s="3">
        <v>24204</v>
      </c>
      <c r="X10" s="3">
        <v>22154</v>
      </c>
      <c r="Y10" s="3">
        <v>18108</v>
      </c>
      <c r="Z10" s="3">
        <v>16046</v>
      </c>
      <c r="AA10" s="3">
        <v>15147</v>
      </c>
      <c r="AB10" s="3">
        <v>14715</v>
      </c>
      <c r="AC10" s="3">
        <v>14616</v>
      </c>
      <c r="AD10" s="3">
        <v>15196</v>
      </c>
      <c r="AE10" s="3">
        <v>16791</v>
      </c>
      <c r="AF10" s="3">
        <v>16919</v>
      </c>
      <c r="AG10" s="3">
        <v>18787</v>
      </c>
      <c r="AH10" s="3">
        <v>26763</v>
      </c>
      <c r="AI10" s="3">
        <v>34780</v>
      </c>
      <c r="AJ10" s="3">
        <v>42544</v>
      </c>
      <c r="AK10" s="3">
        <v>27535</v>
      </c>
      <c r="AL10" s="3">
        <v>34310</v>
      </c>
      <c r="AM10" s="3">
        <v>48882</v>
      </c>
      <c r="AN10" s="3">
        <v>69149</v>
      </c>
      <c r="AO10" s="3">
        <v>67733</v>
      </c>
      <c r="AP10" s="3">
        <v>77385</v>
      </c>
      <c r="AQ10" s="3">
        <v>63723</v>
      </c>
      <c r="AR10" s="3">
        <v>58315</v>
      </c>
      <c r="AS10" s="3">
        <v>55630</v>
      </c>
      <c r="AT10" s="3">
        <v>54910</v>
      </c>
      <c r="AU10" s="3">
        <v>48543</v>
      </c>
    </row>
    <row r="11" spans="1:47" x14ac:dyDescent="0.2">
      <c r="A11" s="1" t="s">
        <v>54</v>
      </c>
      <c r="B11" s="3">
        <v>208924</v>
      </c>
      <c r="C11" s="3">
        <v>165357</v>
      </c>
      <c r="D11" s="3">
        <v>97425</v>
      </c>
      <c r="E11" s="3">
        <v>4006</v>
      </c>
      <c r="F11" s="3">
        <v>4004</v>
      </c>
      <c r="G11" s="3">
        <v>57575</v>
      </c>
      <c r="H11" s="3">
        <v>64120</v>
      </c>
      <c r="I11" s="3">
        <v>65966</v>
      </c>
      <c r="J11" s="3">
        <v>68392</v>
      </c>
      <c r="K11" s="3">
        <v>67365</v>
      </c>
      <c r="L11" s="3">
        <v>78071</v>
      </c>
      <c r="M11" s="3">
        <v>89770</v>
      </c>
      <c r="N11" s="3">
        <v>101977</v>
      </c>
      <c r="O11" s="3">
        <v>102766</v>
      </c>
      <c r="P11" s="3">
        <v>121324</v>
      </c>
      <c r="Q11" s="3">
        <v>122240</v>
      </c>
      <c r="R11" s="3">
        <v>124202</v>
      </c>
      <c r="S11" s="3">
        <v>120479</v>
      </c>
      <c r="T11" s="3">
        <v>122546</v>
      </c>
      <c r="U11" s="3">
        <v>128091</v>
      </c>
      <c r="V11" s="3">
        <v>129236</v>
      </c>
      <c r="W11" s="3">
        <v>438962</v>
      </c>
      <c r="X11" s="3">
        <v>494402</v>
      </c>
      <c r="Y11" s="3">
        <v>532289</v>
      </c>
      <c r="Z11" s="3">
        <v>220890</v>
      </c>
      <c r="AA11" s="3">
        <v>167082</v>
      </c>
      <c r="AB11" s="3">
        <v>172216</v>
      </c>
      <c r="AC11" s="3">
        <v>326462</v>
      </c>
      <c r="AD11" s="3">
        <v>166728</v>
      </c>
      <c r="AE11" s="3">
        <v>189286</v>
      </c>
      <c r="AF11" s="3">
        <v>434484</v>
      </c>
      <c r="AG11" s="3">
        <v>416877</v>
      </c>
      <c r="AH11" s="3">
        <v>256915</v>
      </c>
      <c r="AI11" s="3">
        <v>258355</v>
      </c>
      <c r="AJ11" s="3">
        <v>365233</v>
      </c>
      <c r="AK11" s="3">
        <v>362547</v>
      </c>
      <c r="AL11" s="3">
        <v>365035</v>
      </c>
      <c r="AM11" s="3">
        <v>261999</v>
      </c>
      <c r="AN11" s="3">
        <v>324530</v>
      </c>
      <c r="AO11" s="3">
        <v>455040</v>
      </c>
      <c r="AP11" s="3">
        <v>402152</v>
      </c>
      <c r="AQ11" s="3">
        <v>460318</v>
      </c>
      <c r="AR11" s="3">
        <v>319400</v>
      </c>
      <c r="AS11" s="3">
        <v>317630</v>
      </c>
      <c r="AT11" s="3">
        <v>293600</v>
      </c>
      <c r="AU11" s="3">
        <v>320520</v>
      </c>
    </row>
    <row r="12" spans="1:47" x14ac:dyDescent="0.2">
      <c r="A12" s="1" t="s">
        <v>55</v>
      </c>
      <c r="B12" s="3">
        <v>269308</v>
      </c>
      <c r="C12" s="3">
        <v>137452</v>
      </c>
      <c r="D12" s="3">
        <v>162536</v>
      </c>
      <c r="E12" s="3">
        <v>157597</v>
      </c>
      <c r="F12" s="3">
        <v>152587</v>
      </c>
      <c r="G12" s="3">
        <v>748881</v>
      </c>
      <c r="H12" s="3">
        <v>851605</v>
      </c>
      <c r="I12" s="3">
        <v>896406</v>
      </c>
      <c r="J12" s="3">
        <v>947640</v>
      </c>
      <c r="K12" s="3">
        <v>914592</v>
      </c>
      <c r="L12" s="3">
        <v>1075309</v>
      </c>
      <c r="M12" s="3">
        <v>1275034</v>
      </c>
      <c r="N12" s="3">
        <v>1492496</v>
      </c>
      <c r="O12" s="3">
        <v>1467074</v>
      </c>
      <c r="P12" s="3">
        <v>1625630</v>
      </c>
      <c r="Q12" s="3">
        <v>1657396</v>
      </c>
      <c r="R12" s="3">
        <v>1630061</v>
      </c>
      <c r="S12" s="3">
        <v>1610293</v>
      </c>
      <c r="T12" s="3">
        <v>1598821</v>
      </c>
      <c r="U12" s="3">
        <v>1624097</v>
      </c>
      <c r="V12" s="3">
        <v>1594237</v>
      </c>
      <c r="W12" s="3">
        <v>1254417</v>
      </c>
      <c r="X12" s="3">
        <v>1683401</v>
      </c>
      <c r="Y12" s="3">
        <v>1653297</v>
      </c>
      <c r="Z12" s="3">
        <v>1936097</v>
      </c>
      <c r="AA12" s="3">
        <v>1968924</v>
      </c>
      <c r="AB12" s="3">
        <v>1960785</v>
      </c>
      <c r="AC12" s="3">
        <v>1891438</v>
      </c>
      <c r="AD12" s="3">
        <v>2091505</v>
      </c>
      <c r="AE12" s="3">
        <v>2126910</v>
      </c>
      <c r="AF12" s="3">
        <v>1796333</v>
      </c>
      <c r="AG12" s="3">
        <v>1911548</v>
      </c>
      <c r="AH12" s="3">
        <v>2092381</v>
      </c>
      <c r="AI12" s="3">
        <v>2112460</v>
      </c>
      <c r="AJ12" s="3">
        <v>2017392</v>
      </c>
      <c r="AK12" s="3">
        <v>1932610</v>
      </c>
      <c r="AL12" s="3">
        <v>1890141</v>
      </c>
      <c r="AM12" s="3">
        <v>3194464</v>
      </c>
      <c r="AN12" s="3">
        <v>3766684</v>
      </c>
      <c r="AO12" s="3">
        <v>3402413</v>
      </c>
      <c r="AP12" s="3">
        <v>3386743</v>
      </c>
      <c r="AQ12" s="3">
        <v>3284070</v>
      </c>
      <c r="AR12" s="3">
        <v>3351173</v>
      </c>
      <c r="AS12" s="3">
        <v>3269305</v>
      </c>
      <c r="AT12" s="3">
        <v>2459000</v>
      </c>
      <c r="AU12" s="3">
        <v>2747225</v>
      </c>
    </row>
    <row r="13" spans="1:47" x14ac:dyDescent="0.2">
      <c r="A13" s="1" t="s">
        <v>56</v>
      </c>
      <c r="B13" s="3">
        <v>48237</v>
      </c>
      <c r="C13" s="3">
        <v>78989</v>
      </c>
      <c r="D13" s="3">
        <v>85620</v>
      </c>
      <c r="E13" s="3">
        <v>79588</v>
      </c>
      <c r="F13" s="3">
        <v>74976</v>
      </c>
      <c r="G13" s="3">
        <v>89798</v>
      </c>
      <c r="H13" s="3">
        <v>70464</v>
      </c>
      <c r="I13" s="3">
        <v>90336</v>
      </c>
      <c r="J13" s="3">
        <v>59445</v>
      </c>
      <c r="K13" s="3">
        <v>56505</v>
      </c>
      <c r="L13" s="3">
        <v>51455</v>
      </c>
      <c r="M13" s="3">
        <v>44406</v>
      </c>
      <c r="N13" s="3">
        <v>42073</v>
      </c>
      <c r="O13" s="3">
        <v>43316</v>
      </c>
      <c r="P13" s="3">
        <v>37329</v>
      </c>
      <c r="Q13" s="3">
        <v>37098</v>
      </c>
      <c r="R13" s="3">
        <v>22199</v>
      </c>
      <c r="S13" s="3">
        <v>11854</v>
      </c>
      <c r="T13" s="3">
        <v>11469</v>
      </c>
      <c r="U13" s="3">
        <v>11042</v>
      </c>
      <c r="V13" s="3">
        <v>286885</v>
      </c>
      <c r="W13" s="3">
        <v>283463</v>
      </c>
      <c r="X13" s="3">
        <v>7395</v>
      </c>
      <c r="Y13" s="3">
        <v>7530</v>
      </c>
      <c r="Z13" s="3">
        <v>7668</v>
      </c>
      <c r="AA13" s="3">
        <v>7810</v>
      </c>
      <c r="AB13" s="3">
        <v>7571</v>
      </c>
      <c r="AC13" s="3">
        <v>7329</v>
      </c>
      <c r="AD13" s="3">
        <v>7464</v>
      </c>
      <c r="AE13" s="3">
        <v>7601</v>
      </c>
      <c r="AF13" s="3">
        <v>8117</v>
      </c>
      <c r="AG13" s="3">
        <v>0</v>
      </c>
      <c r="AH13" s="3">
        <v>0</v>
      </c>
      <c r="AI13" s="3">
        <v>0</v>
      </c>
      <c r="AJ13" s="3">
        <v>1052</v>
      </c>
      <c r="AK13" s="3">
        <v>1077</v>
      </c>
      <c r="AL13" s="3">
        <v>1090</v>
      </c>
      <c r="AM13" s="3">
        <v>1104</v>
      </c>
      <c r="AN13" s="3">
        <v>1116</v>
      </c>
      <c r="AO13" s="3">
        <v>1130</v>
      </c>
      <c r="AP13" s="3">
        <v>1143</v>
      </c>
      <c r="AQ13" s="3">
        <v>1153</v>
      </c>
      <c r="AR13" s="3">
        <v>0</v>
      </c>
      <c r="AS13" s="3">
        <v>0</v>
      </c>
      <c r="AT13" s="3">
        <v>0</v>
      </c>
      <c r="AU13" s="3">
        <v>0</v>
      </c>
    </row>
    <row r="14" spans="1:47" x14ac:dyDescent="0.2">
      <c r="A14" s="1" t="s">
        <v>57</v>
      </c>
      <c r="B14" s="3">
        <v>717892</v>
      </c>
      <c r="C14" s="3">
        <v>564692</v>
      </c>
      <c r="D14" s="3">
        <v>547239</v>
      </c>
      <c r="E14" s="3">
        <v>324994</v>
      </c>
      <c r="F14" s="3">
        <v>311749</v>
      </c>
      <c r="G14" s="3">
        <v>446553</v>
      </c>
      <c r="H14" s="3">
        <v>431296</v>
      </c>
      <c r="I14" s="3">
        <v>394492</v>
      </c>
      <c r="J14" s="3">
        <v>380841</v>
      </c>
      <c r="K14" s="3">
        <v>366095</v>
      </c>
      <c r="L14" s="3">
        <v>332974</v>
      </c>
      <c r="M14" s="3">
        <v>285926</v>
      </c>
      <c r="N14" s="3">
        <v>266962</v>
      </c>
      <c r="O14" s="3">
        <v>255700</v>
      </c>
      <c r="P14" s="3">
        <v>231201</v>
      </c>
      <c r="Q14" s="3">
        <v>222019</v>
      </c>
      <c r="R14" s="3">
        <v>137459</v>
      </c>
      <c r="S14" s="3">
        <v>87930</v>
      </c>
      <c r="T14" s="3">
        <v>85116</v>
      </c>
      <c r="U14" s="3">
        <v>82280</v>
      </c>
      <c r="V14" s="3">
        <v>79390</v>
      </c>
      <c r="W14" s="3">
        <v>76447</v>
      </c>
      <c r="X14" s="3">
        <v>54378</v>
      </c>
      <c r="Y14" s="3">
        <v>52444</v>
      </c>
      <c r="Z14" s="3">
        <v>50474</v>
      </c>
      <c r="AA14" s="3">
        <v>48467</v>
      </c>
      <c r="AB14" s="3">
        <v>46807</v>
      </c>
      <c r="AC14" s="3">
        <v>45115</v>
      </c>
      <c r="AD14" s="3">
        <v>43009</v>
      </c>
      <c r="AE14" s="3">
        <v>40865</v>
      </c>
      <c r="AF14" s="3">
        <v>38690</v>
      </c>
      <c r="AG14" s="3">
        <v>0</v>
      </c>
      <c r="AH14" s="3">
        <v>0</v>
      </c>
      <c r="AI14" s="3">
        <v>0</v>
      </c>
      <c r="AJ14" s="3">
        <v>2140</v>
      </c>
      <c r="AK14" s="3">
        <v>1908</v>
      </c>
      <c r="AL14" s="3">
        <v>1675</v>
      </c>
      <c r="AM14" s="3">
        <v>1430</v>
      </c>
      <c r="AN14" s="3">
        <v>1188</v>
      </c>
      <c r="AO14" s="3">
        <v>942</v>
      </c>
      <c r="AP14" s="3">
        <v>686</v>
      </c>
      <c r="AQ14" s="3">
        <v>451</v>
      </c>
      <c r="AR14" s="3">
        <v>0</v>
      </c>
      <c r="AS14" s="3">
        <v>0</v>
      </c>
      <c r="AT14" s="3">
        <v>0</v>
      </c>
      <c r="AU14" s="3">
        <v>0</v>
      </c>
    </row>
    <row r="15" spans="1:47" x14ac:dyDescent="0.2">
      <c r="A15" s="1" t="s">
        <v>58</v>
      </c>
      <c r="B15" s="4">
        <f>SUM(B11:B14)</f>
        <v>1244361</v>
      </c>
      <c r="C15" s="3">
        <v>946490</v>
      </c>
      <c r="D15" s="3">
        <v>892820</v>
      </c>
      <c r="E15" s="3">
        <v>566185</v>
      </c>
      <c r="F15" s="3">
        <v>543316</v>
      </c>
      <c r="G15" s="3">
        <v>1342807</v>
      </c>
      <c r="H15" s="3">
        <v>1417485</v>
      </c>
      <c r="I15" s="3">
        <v>1447200</v>
      </c>
      <c r="J15" s="3">
        <v>1456318</v>
      </c>
      <c r="K15" s="3">
        <v>1404557</v>
      </c>
      <c r="L15" s="3">
        <v>1537809</v>
      </c>
      <c r="M15" s="3">
        <v>1695136</v>
      </c>
      <c r="N15" s="3">
        <v>1903508</v>
      </c>
      <c r="O15" s="3">
        <v>1868856</v>
      </c>
      <c r="P15" s="3">
        <v>2015484</v>
      </c>
      <c r="Q15" s="3">
        <v>2038753</v>
      </c>
      <c r="R15" s="3">
        <v>1913921</v>
      </c>
      <c r="S15" s="3">
        <v>1830556</v>
      </c>
      <c r="T15" s="3">
        <v>1817952</v>
      </c>
      <c r="U15" s="3">
        <v>1845510</v>
      </c>
      <c r="V15" s="3">
        <v>2089748</v>
      </c>
      <c r="W15" s="3">
        <v>2053289</v>
      </c>
      <c r="X15" s="3">
        <v>2239576</v>
      </c>
      <c r="Y15" s="3">
        <v>2245560</v>
      </c>
      <c r="Z15" s="3">
        <v>2215129</v>
      </c>
      <c r="AA15" s="3">
        <v>2192283</v>
      </c>
      <c r="AB15" s="3">
        <v>2187379</v>
      </c>
      <c r="AC15" s="3">
        <v>2270344</v>
      </c>
      <c r="AD15" s="3">
        <v>2308706</v>
      </c>
      <c r="AE15" s="3">
        <v>2364662</v>
      </c>
      <c r="AF15" s="3">
        <v>2277624</v>
      </c>
      <c r="AG15" s="3">
        <v>2328425</v>
      </c>
      <c r="AH15" s="3">
        <v>2349296</v>
      </c>
      <c r="AI15" s="3">
        <v>2370815</v>
      </c>
      <c r="AJ15" s="3">
        <v>2385817</v>
      </c>
      <c r="AK15" s="3">
        <v>2298142</v>
      </c>
      <c r="AL15" s="3">
        <v>2257941</v>
      </c>
      <c r="AM15" s="3">
        <v>3458997</v>
      </c>
      <c r="AN15" s="3">
        <v>4093518</v>
      </c>
      <c r="AO15" s="3">
        <v>3859525</v>
      </c>
      <c r="AP15" s="3">
        <v>3790724</v>
      </c>
      <c r="AQ15" s="3">
        <v>3745992</v>
      </c>
      <c r="AR15" s="3">
        <v>3670573</v>
      </c>
      <c r="AS15" s="3">
        <v>3586935</v>
      </c>
      <c r="AT15" s="3">
        <v>2752600</v>
      </c>
      <c r="AU15" s="3">
        <v>3067745</v>
      </c>
    </row>
    <row r="16" spans="1:47" x14ac:dyDescent="0.2">
      <c r="A16" s="1" t="s">
        <v>59</v>
      </c>
      <c r="B16" s="4">
        <f>B15</f>
        <v>1244361</v>
      </c>
      <c r="C16" s="3">
        <f>(B15+C15)/2</f>
        <v>1095425.5</v>
      </c>
      <c r="D16" s="3">
        <v>919655</v>
      </c>
      <c r="E16" s="3">
        <v>801831.66666666663</v>
      </c>
      <c r="F16" s="3">
        <v>737202.75</v>
      </c>
      <c r="G16" s="3">
        <v>836282</v>
      </c>
      <c r="H16" s="3">
        <v>967448.25</v>
      </c>
      <c r="I16" s="3">
        <v>1187702</v>
      </c>
      <c r="J16" s="3">
        <v>1415952.5</v>
      </c>
      <c r="K16" s="3">
        <v>1431390</v>
      </c>
      <c r="L16" s="3">
        <v>1461471</v>
      </c>
      <c r="M16" s="3">
        <v>1523455</v>
      </c>
      <c r="N16" s="3">
        <v>1635252.5</v>
      </c>
      <c r="O16" s="3">
        <v>1751327.25</v>
      </c>
      <c r="P16" s="3">
        <v>1870746</v>
      </c>
      <c r="Q16" s="3">
        <v>1956650.25</v>
      </c>
      <c r="R16" s="3">
        <v>1959253.5</v>
      </c>
      <c r="S16" s="3">
        <v>1949678.5</v>
      </c>
      <c r="T16" s="3">
        <v>1900295.5</v>
      </c>
      <c r="U16" s="3">
        <v>1851984.75</v>
      </c>
      <c r="V16" s="3">
        <v>1895941.5</v>
      </c>
      <c r="W16" s="3">
        <v>1951624.75</v>
      </c>
      <c r="X16" s="3">
        <v>2057030.75</v>
      </c>
      <c r="Y16" s="3">
        <v>2157043.25</v>
      </c>
      <c r="Z16" s="3">
        <v>2188388.5</v>
      </c>
      <c r="AA16" s="3">
        <v>2223137</v>
      </c>
      <c r="AB16" s="3">
        <v>2210087.75</v>
      </c>
      <c r="AC16" s="3">
        <v>2216283.75</v>
      </c>
      <c r="AD16" s="3">
        <v>2239678</v>
      </c>
      <c r="AE16" s="3">
        <v>2282772.75</v>
      </c>
      <c r="AF16" s="3">
        <v>2305334</v>
      </c>
      <c r="AG16" s="3">
        <v>2319854.25</v>
      </c>
      <c r="AH16" s="3">
        <v>2330001.75</v>
      </c>
      <c r="AI16" s="3">
        <v>2331540</v>
      </c>
      <c r="AJ16" s="3">
        <v>2358588.25</v>
      </c>
      <c r="AK16" s="3">
        <v>2351017.5</v>
      </c>
      <c r="AL16" s="3">
        <v>2328178.75</v>
      </c>
      <c r="AM16" s="3">
        <v>2600224.25</v>
      </c>
      <c r="AN16" s="3">
        <v>3027149.5</v>
      </c>
      <c r="AO16" s="3">
        <v>3417495.25</v>
      </c>
      <c r="AP16" s="3">
        <v>3800691</v>
      </c>
      <c r="AQ16" s="3">
        <v>3872439.75</v>
      </c>
      <c r="AR16" s="3">
        <v>3766703.5</v>
      </c>
      <c r="AS16" s="3">
        <v>3698556</v>
      </c>
      <c r="AT16" s="3">
        <v>3439025</v>
      </c>
      <c r="AU16" s="3">
        <v>3269463.25</v>
      </c>
    </row>
    <row r="17" spans="1:47" x14ac:dyDescent="0.2">
      <c r="A17" s="1" t="s">
        <v>60</v>
      </c>
      <c r="B17" s="1">
        <f>B9/B16</f>
        <v>7.1413359949403746E-2</v>
      </c>
      <c r="C17" s="1">
        <f>C9/C16</f>
        <v>6.8661903525159856E-2</v>
      </c>
      <c r="D17" s="3">
        <v>6.3863079089441152E-2</v>
      </c>
      <c r="E17" s="3">
        <v>6.0855665881658458E-2</v>
      </c>
      <c r="F17" s="3">
        <v>4.8979741326249798E-2</v>
      </c>
      <c r="G17" s="3">
        <v>5.2872117300145169E-2</v>
      </c>
      <c r="H17" s="3">
        <v>4.4939871460824905E-2</v>
      </c>
      <c r="I17" s="3">
        <v>3.7978381782635712E-2</v>
      </c>
      <c r="J17" s="3">
        <v>3.587479099757937E-2</v>
      </c>
      <c r="K17" s="3">
        <v>3.9602763747126922E-2</v>
      </c>
      <c r="L17" s="3">
        <v>3.952661393896971E-2</v>
      </c>
      <c r="M17" s="3">
        <v>3.9327712338073653E-2</v>
      </c>
      <c r="N17" s="3">
        <v>3.9102218158969332E-2</v>
      </c>
      <c r="O17" s="3">
        <v>3.9864051678519821E-2</v>
      </c>
      <c r="P17" s="3">
        <v>4.0835581099732406E-2</v>
      </c>
      <c r="Q17" s="3">
        <v>4.3199851378650837E-2</v>
      </c>
      <c r="R17" s="3">
        <v>4.6131855831825747E-2</v>
      </c>
      <c r="S17" s="3">
        <v>4.7841221001308679E-2</v>
      </c>
      <c r="T17" s="3">
        <v>5.0052215563316335E-2</v>
      </c>
      <c r="U17" s="3">
        <v>5.0890267859927035E-2</v>
      </c>
      <c r="V17" s="3">
        <v>4.8908682045305719E-2</v>
      </c>
      <c r="W17" s="3">
        <v>4.8401210324884432E-2</v>
      </c>
      <c r="X17" s="3">
        <v>4.5528731157762223E-2</v>
      </c>
      <c r="Y17" s="3">
        <v>4.1090970243642541E-2</v>
      </c>
      <c r="Z17" s="3">
        <v>3.7313758503117703E-2</v>
      </c>
      <c r="AA17" s="3">
        <v>3.2458638401502024E-2</v>
      </c>
      <c r="AB17" s="3">
        <v>2.908753283664868E-2</v>
      </c>
      <c r="AC17" s="3">
        <v>2.7394957888402151E-2</v>
      </c>
      <c r="AD17" s="3">
        <v>2.6715000995678844E-2</v>
      </c>
      <c r="AE17" s="3">
        <v>2.6913322843896748E-2</v>
      </c>
      <c r="AF17" s="3">
        <v>2.7606845689171287E-2</v>
      </c>
      <c r="AG17" s="3">
        <v>2.9276408205386181E-2</v>
      </c>
      <c r="AH17" s="3">
        <v>3.4187098786513784E-2</v>
      </c>
      <c r="AI17" s="3">
        <v>4.2337682390179883E-2</v>
      </c>
      <c r="AJ17" s="3">
        <v>5.3914878953543501E-2</v>
      </c>
      <c r="AK17" s="3">
        <v>5.9814527114323904E-2</v>
      </c>
      <c r="AL17" s="3">
        <v>6.5190011720534777E-2</v>
      </c>
      <c r="AM17" s="3">
        <v>6.5892778286334344E-2</v>
      </c>
      <c r="AN17" s="3">
        <v>6.5175175524036719E-2</v>
      </c>
      <c r="AO17" s="3">
        <v>6.9725042046510519E-2</v>
      </c>
      <c r="AP17" s="3">
        <v>7.4358583741745907E-2</v>
      </c>
      <c r="AQ17" s="3">
        <v>7.6202089393385658E-2</v>
      </c>
      <c r="AR17" s="3">
        <v>7.6064123443748619E-2</v>
      </c>
      <c r="AS17" s="3">
        <v>7.3953186054233053E-2</v>
      </c>
      <c r="AT17" s="3">
        <v>7.2728462282187545E-2</v>
      </c>
      <c r="AU17" s="3">
        <v>7.1337091799395513E-2</v>
      </c>
    </row>
    <row r="18" spans="1:47" x14ac:dyDescent="0.2">
      <c r="A18" s="1" t="s">
        <v>61</v>
      </c>
      <c r="B18" s="3">
        <v>-78946</v>
      </c>
      <c r="C18" s="3">
        <v>-171201</v>
      </c>
      <c r="D18" s="3">
        <v>31221</v>
      </c>
      <c r="E18" s="3">
        <v>17496</v>
      </c>
      <c r="F18" s="3">
        <v>66334</v>
      </c>
      <c r="G18" s="3">
        <v>58769</v>
      </c>
      <c r="H18" s="3">
        <v>79028</v>
      </c>
      <c r="I18" s="3">
        <v>14526</v>
      </c>
      <c r="J18" s="3">
        <v>5682</v>
      </c>
      <c r="K18" s="3">
        <v>18632</v>
      </c>
      <c r="L18" s="3">
        <v>27111</v>
      </c>
      <c r="M18" s="3">
        <v>-19168</v>
      </c>
      <c r="N18" s="3">
        <v>-23886</v>
      </c>
      <c r="O18" s="3">
        <v>-248090</v>
      </c>
      <c r="P18" s="3">
        <v>-13542</v>
      </c>
      <c r="Q18" s="3">
        <v>-22610</v>
      </c>
      <c r="R18" s="3">
        <v>2361</v>
      </c>
      <c r="S18" s="3">
        <v>25709</v>
      </c>
      <c r="T18" s="3">
        <v>40153</v>
      </c>
      <c r="U18" s="3">
        <v>980</v>
      </c>
      <c r="V18" s="3">
        <v>-9950</v>
      </c>
      <c r="W18" s="3">
        <v>109110</v>
      </c>
      <c r="X18" s="3">
        <v>165339</v>
      </c>
      <c r="Y18" s="3">
        <v>199669</v>
      </c>
      <c r="Z18" s="3">
        <v>57112</v>
      </c>
      <c r="AA18" s="3">
        <v>-9130</v>
      </c>
      <c r="AB18" s="3">
        <v>28881</v>
      </c>
      <c r="AC18" s="3">
        <v>-26656</v>
      </c>
      <c r="AD18" s="3">
        <v>-33191</v>
      </c>
      <c r="AE18" s="3">
        <v>24440</v>
      </c>
      <c r="AF18" s="3">
        <v>31135</v>
      </c>
      <c r="AG18" s="3">
        <v>47116</v>
      </c>
      <c r="AH18" s="3">
        <v>154643</v>
      </c>
      <c r="AI18" s="3">
        <v>240236</v>
      </c>
      <c r="AJ18" s="3">
        <v>199440</v>
      </c>
      <c r="AK18" s="3">
        <v>230835</v>
      </c>
      <c r="AL18" s="3">
        <v>107747</v>
      </c>
      <c r="AM18" s="3">
        <v>118597</v>
      </c>
      <c r="AN18" s="3">
        <v>182367</v>
      </c>
      <c r="AO18" s="3">
        <v>189115</v>
      </c>
      <c r="AP18" s="3">
        <v>65253</v>
      </c>
      <c r="AQ18" s="3">
        <v>66519</v>
      </c>
      <c r="AR18" s="3">
        <v>35288</v>
      </c>
      <c r="AS18" s="3">
        <v>79065</v>
      </c>
      <c r="AT18" s="3">
        <v>41600</v>
      </c>
      <c r="AU18" s="3">
        <v>229112</v>
      </c>
    </row>
    <row r="19" spans="1:47" x14ac:dyDescent="0.2">
      <c r="A19" s="1" t="s">
        <v>62</v>
      </c>
      <c r="B19" s="1">
        <v>98</v>
      </c>
      <c r="C19" s="3">
        <v>268</v>
      </c>
      <c r="D19" s="3">
        <v>53</v>
      </c>
      <c r="E19" s="3">
        <v>-51</v>
      </c>
      <c r="F19" s="3">
        <v>47</v>
      </c>
      <c r="G19" s="3">
        <v>150</v>
      </c>
      <c r="H19" s="3">
        <v>50</v>
      </c>
      <c r="I19" s="3">
        <v>54</v>
      </c>
      <c r="J19" s="3">
        <v>73</v>
      </c>
      <c r="K19" s="3">
        <v>168</v>
      </c>
      <c r="L19" s="3">
        <v>30</v>
      </c>
      <c r="M19" s="3">
        <v>63</v>
      </c>
      <c r="N19" s="3">
        <v>16</v>
      </c>
      <c r="O19" s="3">
        <v>181</v>
      </c>
      <c r="P19" s="3">
        <v>14</v>
      </c>
      <c r="Q19" s="3">
        <v>59</v>
      </c>
      <c r="R19" s="3">
        <v>24</v>
      </c>
      <c r="S19" s="3">
        <v>219</v>
      </c>
      <c r="T19" s="3">
        <v>42</v>
      </c>
      <c r="U19" s="3">
        <v>-25</v>
      </c>
      <c r="V19" s="3">
        <v>18</v>
      </c>
      <c r="W19" s="3">
        <v>272</v>
      </c>
      <c r="X19" s="3">
        <v>8</v>
      </c>
      <c r="Y19" s="3">
        <v>-55</v>
      </c>
      <c r="Z19" s="3">
        <v>-14</v>
      </c>
      <c r="AA19" s="3">
        <v>47</v>
      </c>
      <c r="AB19" s="3">
        <v>-14</v>
      </c>
      <c r="AC19" s="3">
        <v>-25</v>
      </c>
      <c r="AD19" s="3">
        <v>15</v>
      </c>
      <c r="AE19" s="3">
        <v>4657</v>
      </c>
      <c r="AF19" s="3">
        <v>-13</v>
      </c>
      <c r="AG19" s="3">
        <v>19</v>
      </c>
      <c r="AH19" s="3">
        <v>204</v>
      </c>
      <c r="AI19" s="3">
        <v>202</v>
      </c>
      <c r="AJ19" s="3">
        <v>-186</v>
      </c>
      <c r="AK19" s="3">
        <v>161</v>
      </c>
      <c r="AL19" s="3">
        <v>4</v>
      </c>
      <c r="AM19" s="3">
        <v>226</v>
      </c>
      <c r="AN19" s="3">
        <v>1548</v>
      </c>
      <c r="AO19" s="3">
        <v>1541</v>
      </c>
      <c r="AP19" s="3">
        <v>4796</v>
      </c>
      <c r="AQ19" s="3">
        <v>-214</v>
      </c>
      <c r="AR19" s="3">
        <v>2001</v>
      </c>
      <c r="AS19" s="3">
        <v>1522</v>
      </c>
      <c r="AT19" s="3">
        <v>1300</v>
      </c>
      <c r="AU19" s="3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Dybevold Simonsen</cp:lastModifiedBy>
  <dcterms:created xsi:type="dcterms:W3CDTF">2015-06-05T18:17:20Z</dcterms:created>
  <dcterms:modified xsi:type="dcterms:W3CDTF">2026-03-28T12:48:39Z</dcterms:modified>
</cp:coreProperties>
</file>